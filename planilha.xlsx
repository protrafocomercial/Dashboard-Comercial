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689251A5-C135-42FA-B8B8-3577EE6341DC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" i="17" l="1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<sst xmlns="http://schemas.openxmlformats.org/spreadsheetml/2006/main" count="3846" uniqueCount="1554">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</sst>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13641839.779999999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2680696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13641839.779999999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338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81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129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87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abSelected="1" topLeftCell="A272" zoomScale="85" zoomScaleNormal="85" zoomScaleSheetLayoutView="90" workbookViewId="0">
      <pane xSplit="4" topLeftCell="E1" activePane="topRight" state="frozen"/>
      <selection pane="topRight" activeCell="D262" sqref="D262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692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1546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1512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1513</v>
      </c>
      <c r="D323" s="146" t="s">
        <v>1514</v>
      </c>
      <c r="E323" s="146" t="s">
        <v>497</v>
      </c>
      <c r="F323" s="146" t="s">
        <v>1504</v>
      </c>
      <c r="G323" s="146" t="s">
        <v>1515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1516</v>
      </c>
      <c r="D324" s="146" t="s">
        <v>604</v>
      </c>
      <c r="E324" s="146" t="s">
        <v>619</v>
      </c>
      <c r="F324" s="146" t="s">
        <v>1517</v>
      </c>
      <c r="G324" s="146" t="s">
        <v>1518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1519</v>
      </c>
      <c r="D325" s="146" t="s">
        <v>1520</v>
      </c>
      <c r="E325" s="146" t="s">
        <v>497</v>
      </c>
      <c r="F325" s="146" t="s">
        <v>1521</v>
      </c>
      <c r="G325" s="146" t="s">
        <v>1522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1523</v>
      </c>
      <c r="D326" s="146" t="s">
        <v>1430</v>
      </c>
      <c r="E326" s="146" t="s">
        <v>497</v>
      </c>
      <c r="F326" s="146" t="s">
        <v>1504</v>
      </c>
      <c r="G326" s="146" t="s">
        <v>1524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1525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1526</v>
      </c>
      <c r="D328" s="146" t="s">
        <v>486</v>
      </c>
      <c r="E328" s="146" t="s">
        <v>619</v>
      </c>
      <c r="F328" s="146" t="s">
        <v>1527</v>
      </c>
      <c r="G328" s="146" t="s">
        <v>1528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1529</v>
      </c>
      <c r="D329" s="146" t="s">
        <v>486</v>
      </c>
      <c r="E329" s="146" t="s">
        <v>619</v>
      </c>
      <c r="F329" s="146" t="s">
        <v>1530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1531</v>
      </c>
      <c r="D330" s="146" t="s">
        <v>486</v>
      </c>
      <c r="E330" s="146" t="s">
        <v>619</v>
      </c>
      <c r="F330" s="146" t="s">
        <v>1532</v>
      </c>
      <c r="G330" s="146" t="s">
        <v>1533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1534</v>
      </c>
      <c r="D331" s="146" t="s">
        <v>486</v>
      </c>
      <c r="E331" s="146" t="s">
        <v>619</v>
      </c>
      <c r="F331" s="146" t="s">
        <v>1535</v>
      </c>
      <c r="G331" s="146" t="s">
        <v>1536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1537</v>
      </c>
      <c r="D332" s="146" t="s">
        <v>486</v>
      </c>
      <c r="E332" s="146" t="s">
        <v>619</v>
      </c>
      <c r="F332" s="146" t="s">
        <v>717</v>
      </c>
      <c r="G332" s="146" t="s">
        <v>1538</v>
      </c>
      <c r="H332" s="146" t="s">
        <v>522</v>
      </c>
      <c r="I332" s="145">
        <v>46195</v>
      </c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1541</v>
      </c>
      <c r="D333" s="146" t="s">
        <v>625</v>
      </c>
      <c r="E333" s="146" t="s">
        <v>497</v>
      </c>
      <c r="F333" s="146" t="s">
        <v>647</v>
      </c>
      <c r="G333" s="146" t="s">
        <v>1542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5417.28</v>
      </c>
      <c r="M333" s="178"/>
      <c r="N333" s="180">
        <f>IFERROR(Tabela225[[#This Row],[VALOR  (R$)]]/Tabela225[[#This Row],[PRAZO
EXECUÇÃO]],0)</f>
        <v>5417.28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1539</v>
      </c>
      <c r="D334" s="146" t="s">
        <v>486</v>
      </c>
      <c r="E334" s="146" t="s">
        <v>619</v>
      </c>
      <c r="F334" s="146" t="s">
        <v>1033</v>
      </c>
      <c r="G334" s="146" t="s">
        <v>1540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1543</v>
      </c>
      <c r="D335" s="146" t="s">
        <v>604</v>
      </c>
      <c r="E335" s="146" t="s">
        <v>619</v>
      </c>
      <c r="F335" s="146" t="s">
        <v>1544</v>
      </c>
      <c r="G335" s="146" t="s">
        <v>1545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1547</v>
      </c>
      <c r="D336" s="146" t="s">
        <v>486</v>
      </c>
      <c r="E336" s="146" t="s">
        <v>619</v>
      </c>
      <c r="F336" s="146" t="s">
        <v>1284</v>
      </c>
      <c r="G336" s="146" t="s">
        <v>1548</v>
      </c>
      <c r="H336" s="146" t="s">
        <v>522</v>
      </c>
      <c r="I336" s="145">
        <v>46195</v>
      </c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1549</v>
      </c>
      <c r="D337" s="146" t="s">
        <v>486</v>
      </c>
      <c r="E337" s="146" t="s">
        <v>619</v>
      </c>
      <c r="F337" s="146" t="s">
        <v>1550</v>
      </c>
      <c r="G337" s="146" t="s">
        <v>1551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692</v>
      </c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>
        <v>46192</v>
      </c>
      <c r="C338" s="214" t="s">
        <v>1552</v>
      </c>
      <c r="D338" s="146" t="s">
        <v>486</v>
      </c>
      <c r="E338" s="146" t="s">
        <v>619</v>
      </c>
      <c r="F338" s="146" t="s">
        <v>1553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2680696</v>
      </c>
      <c r="D8" s="190">
        <f>C8+D7</f>
        <v>13641839.779999999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13641839.779999999</v>
      </c>
      <c r="D15" s="197"/>
      <c r="E15" s="179"/>
    </row>
    <row r="16" spans="2:5">
      <c r="B16" s="194" t="s">
        <v>990</v>
      </c>
      <c r="C16" s="195">
        <f>AVERAGE(C3:C8)</f>
        <v>2273639.9633333334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24482954.280000001</v>
      </c>
      <c r="D2" s="171">
        <f>SUM(D3:D64)</f>
        <v>1320110.1000000001</v>
      </c>
      <c r="E2" s="171">
        <f>SUM(E3:E66)</f>
        <v>26079448.810000002</v>
      </c>
      <c r="F2" s="171">
        <f>SUM(F3:F66)</f>
        <v>12943133.780000001</v>
      </c>
      <c r="G2" s="171">
        <f>SUM(G3:G48)</f>
        <v>92303</v>
      </c>
      <c r="H2" s="171">
        <f>SUM(H3:H48)</f>
        <v>60479937.490000002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14235022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14235022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8326930</v>
      </c>
      <c r="D7" s="164">
        <f>SUMIFS('CONTROLE DE PROPOSTAS_2026'!L:L,
         'CONTROLE DE PROPOSTAS_2026'!D:D, $B7,
         'CONTROLE DE PROPOSTAS_2026'!O:O, "NEGOCIAÇÃO")</f>
        <v>613400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8121936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40302748.700000003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5417.28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3373979.88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2741615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1088770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5832237.46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24885528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174200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3438707.6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32164096.600000001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28753630.040000003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339495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2680696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32269421.040000003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2026-06-19T18:47:48Z</dcterms:modified>
  <cp:category/>
  <cp:contentStatus/>
</cp:coreProperties>
</file>