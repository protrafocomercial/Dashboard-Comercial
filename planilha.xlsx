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057F1DF8-36D1-45BB-9EE5-50D90AD723C8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<sst xmlns="http://schemas.openxmlformats.org/spreadsheetml/2006/main" count="3845" uniqueCount="1554">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</sst>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12281919.779999999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1320776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12281919.779999999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338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81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86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abSelected="1" topLeftCell="A317" zoomScale="85" zoomScaleNormal="85" zoomScaleSheetLayoutView="90" workbookViewId="0">
      <pane xSplit="4" topLeftCell="G1" activePane="topRight" state="frozen"/>
      <selection pane="topRight" activeCell="G324" sqref="G32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/>
      <c r="M335" s="178"/>
      <c r="N335" s="180">
        <f>IFERROR(Tabela225[[#This Row],[VALOR  (R$)]]/Tabela225[[#This Row],[PRAZO
EXECUÇÃO]],0)</f>
        <v>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/>
      <c r="M337" s="178"/>
      <c r="N337" s="180">
        <f>IFERROR(Tabela225[[#This Row],[VALOR  (R$)]]/Tabela225[[#This Row],[PRAZO
EXECUÇÃO]],0)</f>
        <v>0</v>
      </c>
      <c r="O337" s="211" t="s">
        <v>506</v>
      </c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1320776</v>
      </c>
      <c r="D8" s="190">
        <f>C8+D7</f>
        <v>12281919.779999999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12281919.779999999</v>
      </c>
      <c r="D15" s="197"/>
      <c r="E15" s="179"/>
    </row>
    <row r="16" spans="2:5">
      <c r="B16" s="194" t="s">
        <v>990</v>
      </c>
      <c r="C16" s="195">
        <f>AVERAGE(C3:C8)</f>
        <v>2046986.63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23682170.280000001</v>
      </c>
      <c r="D2" s="171">
        <f>SUM(D3:D64)</f>
        <v>2678120.1</v>
      </c>
      <c r="E2" s="171">
        <f>SUM(E3:E66)</f>
        <v>26079448.810000002</v>
      </c>
      <c r="F2" s="171">
        <f>SUM(F3:F66)</f>
        <v>11583213.779999999</v>
      </c>
      <c r="G2" s="171">
        <f>SUM(G3:G48)</f>
        <v>92303</v>
      </c>
      <c r="H2" s="171">
        <f>SUM(H3:H48)</f>
        <v>59677243.490000002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8137030</v>
      </c>
      <c r="D7" s="164">
        <f>SUMIFS('CONTROLE DE PROPOSTAS_2026'!L:L,
         'CONTROLE DE PROPOSTAS_2026'!D:D, $B7,
         'CONTROLE DE PROPOSTAS_2026'!O:O, "NEGOCIAÇÃO")</f>
        <v>1971410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6762016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40110938.700000003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1534120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2078787.6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27952846.040000003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337585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1320776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30106807.040000003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2026-06-19T16:43:37Z</dcterms:modified>
  <cp:category/>
  <cp:contentStatus/>
</cp:coreProperties>
</file>