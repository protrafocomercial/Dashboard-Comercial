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FEF2FE4B-3824-4D7F-A249-50FBE76D08AF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7" i="17" l="1"/>
  <c r="N267" i="17"/>
  <c r="N257" i="17"/>
  <c r="N252" i="17"/>
  <c r="N241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L185" i="17"/>
  <c r="N254" i="17"/>
  <c r="K250" i="17"/>
  <c r="K237" i="17"/>
  <c r="L241" i="17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<sst xmlns="http://schemas.openxmlformats.org/spreadsheetml/2006/main" count="3811" uniqueCount="1542">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</sst>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11612129.779999999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650986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3" totalsRowShown="0" headerRowDxfId="76" dataDxfId="75" tableBorderDxfId="74" headerRowCellStyle="Normal" dataCellStyle="Normal">
  <autoFilter ref="A1:T493" xr:uid="{D39B971D-BAB4-4D6B-9B39-3EBCE0A9E872}"/>
  <sortState xmlns:xlrd2="http://schemas.microsoft.com/office/spreadsheetml/2017/richdata2" ref="A75:T308">
    <sortCondition ref="B1:B493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11612129.779999999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333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84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83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0"/>
  <sheetViews>
    <sheetView tabSelected="1" topLeftCell="A306" zoomScale="85" zoomScaleNormal="85" zoomScaleSheetLayoutView="90" workbookViewId="0">
      <pane xSplit="4" topLeftCell="H1" activePane="topRight" state="frozen"/>
      <selection pane="topRight" activeCell="L320" sqref="L320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221</v>
      </c>
      <c r="L185" s="180">
        <f>65000*63</f>
        <v>4095000</v>
      </c>
      <c r="M185" s="178">
        <v>0.2</v>
      </c>
      <c r="N185" s="180">
        <f>IFERROR(Tabela225[[#This Row],[VALOR  (R$)]]/Tabela225[[#This Row],[PRAZO
EXECUÇÃO]],0)</f>
        <v>18529.411764705881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506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506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46181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/>
      <c r="L269" s="184"/>
      <c r="M269" s="185"/>
      <c r="N269" s="180">
        <f>IFERROR(Tabela225[[#This Row],[VALOR  (R$)]]/Tabela225[[#This Row],[PRAZO
EXECUÇÃO]],0)</f>
        <v>0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506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7</v>
      </c>
      <c r="L274" s="184">
        <v>66000</v>
      </c>
      <c r="M274" s="185">
        <v>0.23</v>
      </c>
      <c r="N274" s="180">
        <f>IFERROR(Tabela225[[#This Row],[VALOR  (R$)]]/Tabela225[[#This Row],[PRAZO
EXECUÇÃO]],0)</f>
        <v>9428.5714285714294</v>
      </c>
      <c r="O274" s="211" t="s">
        <v>692</v>
      </c>
      <c r="P274" s="214"/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223745</v>
      </c>
      <c r="M304" s="178">
        <v>0.44</v>
      </c>
      <c r="N304" s="180">
        <f>IFERROR(Tabela225[[#This Row],[VALOR  (R$)]]/Tabela225[[#This Row],[PRAZO
EXECUÇÃO]],0)</f>
        <v>18645.416666666668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3998</v>
      </c>
      <c r="M322" s="178">
        <v>0.2</v>
      </c>
      <c r="N322" s="180">
        <f>IFERROR(Tabela225[[#This Row],[VALOR  (R$)]]/Tabela225[[#This Row],[PRAZO
EXECUÇÃO]],0)</f>
        <v>3998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692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/>
      <c r="K329" s="144"/>
      <c r="L329" s="180"/>
      <c r="M329" s="178"/>
      <c r="N329" s="180">
        <f>IFERROR(Tabela225[[#This Row],[VALOR  (R$)]]/Tabela225[[#This Row],[PRAZO
EXECUÇÃO]],0)</f>
        <v>0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 t="s">
        <v>522</v>
      </c>
      <c r="I332" s="145"/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214" t="s">
        <v>1540</v>
      </c>
      <c r="D333" s="146" t="s">
        <v>486</v>
      </c>
      <c r="E333" s="146" t="s">
        <v>619</v>
      </c>
      <c r="F333" s="146" t="s">
        <v>1033</v>
      </c>
      <c r="G333" s="146" t="s">
        <v>1541</v>
      </c>
      <c r="H333" s="146" t="s">
        <v>522</v>
      </c>
      <c r="I333" s="145">
        <v>46189</v>
      </c>
      <c r="J333" s="145">
        <v>46189</v>
      </c>
      <c r="K333" s="144">
        <v>60</v>
      </c>
      <c r="L333" s="180">
        <v>76500</v>
      </c>
      <c r="M333" s="178">
        <v>1.4999999999999999E-2</v>
      </c>
      <c r="N333" s="180">
        <f>IFERROR(Tabela225[[#This Row],[VALOR  (R$)]]/Tabela225[[#This Row],[PRAZO
EXECUÇÃO]],0)</f>
        <v>1275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/>
      <c r="C334" s="214"/>
      <c r="D334" s="146"/>
      <c r="E334" s="146"/>
      <c r="F334" s="146"/>
      <c r="G334" s="146"/>
      <c r="H334" s="146"/>
      <c r="I334" s="145"/>
      <c r="J334" s="145"/>
      <c r="K334" s="144"/>
      <c r="L334" s="180"/>
      <c r="M334" s="178"/>
      <c r="N334" s="180">
        <f>IFERROR(Tabela225[[#This Row],[VALOR  (R$)]]/Tabela225[[#This Row],[PRAZO
EXECUÇÃO]],0)</f>
        <v>0</v>
      </c>
      <c r="O334" s="211"/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/>
      <c r="C335" s="214"/>
      <c r="D335" s="146"/>
      <c r="E335" s="146"/>
      <c r="F335" s="146"/>
      <c r="G335" s="146"/>
      <c r="H335" s="146"/>
      <c r="I335" s="145"/>
      <c r="J335" s="145"/>
      <c r="K335" s="144"/>
      <c r="L335" s="180"/>
      <c r="M335" s="178"/>
      <c r="N335" s="180">
        <f>IFERROR(Tabela225[[#This Row],[VALOR  (R$)]]/Tabela225[[#This Row],[PRAZO
EXECUÇÃO]],0)</f>
        <v>0</v>
      </c>
      <c r="O335" s="211"/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218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215"/>
      <c r="E462" s="215"/>
      <c r="F462" s="215"/>
      <c r="G462" s="215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Q494" s="132"/>
    </row>
    <row r="510" spans="12:12">
      <c r="L510" s="181"/>
    </row>
  </sheetData>
  <phoneticPr fontId="15" type="noConversion"/>
  <conditionalFormatting sqref="O1:O493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3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6 E475 E16:E234" xr:uid="{47986632-7426-4144-A9D0-F21E9A336CE3}">
      <formula1>"MANUTENÇÃO, FABRICANTE, CLIENTE FINAL"</formula1>
    </dataValidation>
    <dataValidation type="list" allowBlank="1" showInputMessage="1" showErrorMessage="1" sqref="O2:O493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650986</v>
      </c>
      <c r="D8" s="190">
        <f>C8+D7</f>
        <v>11612129.779999999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11612129.779999999</v>
      </c>
      <c r="D15" s="197"/>
      <c r="E15" s="179"/>
    </row>
    <row r="16" spans="2:5">
      <c r="B16" s="194" t="s">
        <v>990</v>
      </c>
      <c r="C16" s="195">
        <f>AVERAGE(C3:C8)</f>
        <v>1935354.9633333331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23652493.600000001</v>
      </c>
      <c r="D2" s="171">
        <f>SUM(D3:D64)</f>
        <v>3157820.1</v>
      </c>
      <c r="E2" s="171">
        <f>SUM(E3:E66)</f>
        <v>25426948.210000001</v>
      </c>
      <c r="F2" s="171">
        <f>SUM(F3:F66)</f>
        <v>10983613.780000001</v>
      </c>
      <c r="G2" s="171">
        <f>SUM(G3:G48)</f>
        <v>92303</v>
      </c>
      <c r="H2" s="171">
        <f>SUM(H3:H48)</f>
        <v>58880583.490000002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7795905</v>
      </c>
      <c r="D7" s="164">
        <f>SUMIFS('CONTROLE DE PROPOSTAS_2026'!L:L,
         'CONTROLE DE PROPOSTAS_2026'!D:D, $B7,
         'CONTROLE DE PROPOSTAS_2026'!O:O, "NEGOCIAÇÃO")</f>
        <v>2451110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39170213.700000003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778245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1066049.8799999999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69160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221330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3368562.6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103640.6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0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2845255.6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9823596.8599999994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15994045.459999999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25455868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1600120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2598651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1410987.6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32063476.600000001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5789104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542700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650986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6998690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2026-06-16T18:23:52Z</dcterms:modified>
  <cp:category/>
  <cp:contentStatus/>
</cp:coreProperties>
</file>