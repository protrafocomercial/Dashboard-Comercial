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2B4DED39-5855-45B6-A37B-B11BACEF024B}" xr6:coauthVersionLast="47" xr6:coauthVersionMax="47" xr10:uidLastSave="{00000000-0000-0000-0000-000000000000}"/>
  <bookViews>
    <workbookView xWindow="20370" yWindow="-120" windowWidth="29040" windowHeight="1572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5" i="17" l="1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<sst xmlns="http://schemas.openxmlformats.org/spreadsheetml/2006/main" count="3825" uniqueCount="1547">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</sst>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11680329.779999999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719186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11680329.779999999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335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84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abSelected="1" topLeftCell="A314" zoomScale="85" zoomScaleNormal="85" zoomScaleSheetLayoutView="90" workbookViewId="0">
      <pane xSplit="4" topLeftCell="H1" activePane="topRight" state="frozen"/>
      <selection pane="topRight" activeCell="N327" sqref="N327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692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1999</v>
      </c>
      <c r="M322" s="178">
        <v>0.2</v>
      </c>
      <c r="N322" s="180">
        <f>IFERROR(Tabela225[[#This Row],[VALOR  (R$)]]/Tabela225[[#This Row],[PRAZO
EXECUÇÃO]],0)</f>
        <v>1999</v>
      </c>
      <c r="O322" s="211" t="s">
        <v>692</v>
      </c>
      <c r="P322" s="145"/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0.39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1542</v>
      </c>
      <c r="D333" s="146" t="s">
        <v>625</v>
      </c>
      <c r="E333" s="146" t="s">
        <v>497</v>
      </c>
      <c r="F333" s="146" t="s">
        <v>647</v>
      </c>
      <c r="G333" s="146" t="s">
        <v>1543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1540</v>
      </c>
      <c r="D334" s="146" t="s">
        <v>486</v>
      </c>
      <c r="E334" s="146" t="s">
        <v>619</v>
      </c>
      <c r="F334" s="146" t="s">
        <v>1033</v>
      </c>
      <c r="G334" s="146" t="s">
        <v>1541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1544</v>
      </c>
      <c r="D335" s="146" t="s">
        <v>604</v>
      </c>
      <c r="E335" s="146" t="s">
        <v>619</v>
      </c>
      <c r="F335" s="146" t="s">
        <v>1545</v>
      </c>
      <c r="G335" s="146" t="s">
        <v>1546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719186</v>
      </c>
      <c r="D8" s="190">
        <f>C8+D7</f>
        <v>11680329.779999999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11680329.779999999</v>
      </c>
      <c r="D15" s="197"/>
      <c r="E15" s="179"/>
    </row>
    <row r="16" spans="2:5">
      <c r="B16" s="194" t="s">
        <v>990</v>
      </c>
      <c r="C16" s="195">
        <f>AVERAGE(C3:C8)</f>
        <v>1946721.63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23542845.280000001</v>
      </c>
      <c r="D2" s="171">
        <f>SUM(D3:D64)</f>
        <v>3277720.1</v>
      </c>
      <c r="E2" s="171">
        <f>SUM(E3:E66)</f>
        <v>26079448.810000002</v>
      </c>
      <c r="F2" s="171">
        <f>SUM(F3:F66)</f>
        <v>10983613.780000001</v>
      </c>
      <c r="G2" s="171">
        <f>SUM(G3:G48)</f>
        <v>92303</v>
      </c>
      <c r="H2" s="171">
        <f>SUM(H3:H48)</f>
        <v>59537918.490000002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7997705</v>
      </c>
      <c r="D7" s="164">
        <f>SUMIFS('CONTROLE DE PROPOSTAS_2026'!L:L,
         'CONTROLE DE PROPOSTAS_2026'!D:D, $B7,
         'CONTROLE DE PROPOSTAS_2026'!O:O, "NEGOCIAÇÃO")</f>
        <v>2571010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39971613.700000003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2133720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1479187.6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6282873.2800000003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229984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719186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7727643.2800000003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2026-06-17T20:20:52Z</dcterms:modified>
  <cp:category/>
  <cp:contentStatus/>
</cp:coreProperties>
</file>