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E0099CCB-1DD7-424D-829E-6C586ACBAFDE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7" i="17" l="1"/>
  <c r="N267" i="17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<sst xmlns="http://schemas.openxmlformats.org/spreadsheetml/2006/main" count="3802" uniqueCount="1540">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</sst>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11612129.779999999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650986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11612129.779999999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332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82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83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opLeftCell="A95" zoomScale="85" zoomScaleNormal="85" zoomScaleSheetLayoutView="90" workbookViewId="0">
      <pane xSplit="4" topLeftCell="I1" activePane="topRight" state="frozen"/>
      <selection pane="topRight" activeCell="P108" sqref="P108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/>
      <c r="J325" s="145"/>
      <c r="K325" s="144"/>
      <c r="L325" s="180"/>
      <c r="M325" s="178"/>
      <c r="N325" s="180">
        <f>IFERROR(Tabela225[[#This Row],[VALOR  (R$)]]/Tabela225[[#This Row],[PRAZO
EXECUÇÃO]],0)</f>
        <v>0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/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/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/>
      <c r="C333" s="214"/>
      <c r="D333" s="146"/>
      <c r="E333" s="146"/>
      <c r="F333" s="146"/>
      <c r="G333" s="146"/>
      <c r="H333" s="146"/>
      <c r="I333" s="145"/>
      <c r="J333" s="145"/>
      <c r="K333" s="144"/>
      <c r="L333" s="180"/>
      <c r="M333" s="178"/>
      <c r="N333" s="180">
        <f>IFERROR(Tabela225[[#This Row],[VALOR  (R$)]]/Tabela225[[#This Row],[PRAZO
EXECUÇÃO]],0)</f>
        <v>0</v>
      </c>
      <c r="O333" s="211"/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650986</v>
      </c>
      <c r="D8" s="190">
        <f>C8+D7</f>
        <v>11612129.779999999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11612129.779999999</v>
      </c>
      <c r="D15" s="197"/>
      <c r="E15" s="179"/>
    </row>
    <row r="16" spans="2:5">
      <c r="B16" s="194" t="s">
        <v>990</v>
      </c>
      <c r="C16" s="195">
        <f>AVERAGE(C3:C8)</f>
        <v>1935354.9633333331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23575993.600000001</v>
      </c>
      <c r="D2" s="171">
        <f>SUM(D3:D64)</f>
        <v>3157820.1</v>
      </c>
      <c r="E2" s="171">
        <f>SUM(E3:E66)</f>
        <v>25426948.210000001</v>
      </c>
      <c r="F2" s="171">
        <f>SUM(F3:F66)</f>
        <v>10983613.780000001</v>
      </c>
      <c r="G2" s="171">
        <f>SUM(G3:G48)</f>
        <v>92303</v>
      </c>
      <c r="H2" s="171">
        <f>SUM(H3:H48)</f>
        <v>58804083.490000002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7719405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39093713.700000003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15994045.459999999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1410987.6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32063476.600000001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5547619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650986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6757205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2026-06-02T16:18:29Z</cp:lastPrinted>
  <dcterms:created xsi:type="dcterms:W3CDTF">2015-06-05T18:19:34Z</dcterms:created>
  <dcterms:modified xsi:type="dcterms:W3CDTF">2026-06-16T15:19:09Z</dcterms:modified>
  <cp:category/>
  <cp:contentStatus/>
</cp:coreProperties>
</file>